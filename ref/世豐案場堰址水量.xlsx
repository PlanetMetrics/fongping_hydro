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FA3BABA-69BE-4DDD-9B99-0F755C49ABB4}" xr6:coauthVersionLast="47" xr6:coauthVersionMax="47" xr10:uidLastSave="{00000000-0000-0000-0000-000000000000}"/>
  <bookViews>
    <workbookView xWindow="17580" yWindow="1545" windowWidth="21600" windowHeight="11385" xr2:uid="{294502DF-016D-44B1-9DAC-3124378AE8B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F39" i="1"/>
  <c r="G38" i="1"/>
  <c r="F38" i="1"/>
  <c r="E39" i="1"/>
  <c r="D39" i="1"/>
  <c r="E38" i="1"/>
  <c r="D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<sst xmlns="http://schemas.openxmlformats.org/spreadsheetml/2006/main" count="41" uniqueCount="8">
  <si>
    <t>上</t>
    <phoneticPr fontId="1" type="noConversion"/>
  </si>
  <si>
    <t>中</t>
    <phoneticPr fontId="1" type="noConversion"/>
  </si>
  <si>
    <t>下</t>
    <phoneticPr fontId="1" type="noConversion"/>
  </si>
  <si>
    <t>旬期</t>
    <phoneticPr fontId="1" type="noConversion"/>
  </si>
  <si>
    <t>第二堰址處引水前</t>
    <phoneticPr fontId="1" type="noConversion"/>
  </si>
  <si>
    <t>第二堰址處引水後</t>
    <phoneticPr fontId="1" type="noConversion"/>
  </si>
  <si>
    <t>第一堰址處引水前</t>
    <phoneticPr fontId="1" type="noConversion"/>
  </si>
  <si>
    <t>第一堰址處引水後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</si>
</sst>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2" fontId="0" fillId="0" borderId="0" xfId="0" applyNumberFormat="1">
      <alignment vertical="center"/>
    </xf>
    <xf numFmtId="2" fontId="3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758C-FF26-418C-A94C-C2B4AC2DBC3A}">
  <dimension ref="A1:G39"/>
  <sheetViews>
    <sheetView tabSelected="1" zoomScale="70" zoomScaleNormal="70" workbookViewId="0">
      <selection activeCell="G38" sqref="G38"/>
    </sheetView>
  </sheetViews>
  <sheetFormatPr defaultRowHeight="16.5" x14ac:dyDescent="0.25"/>
  <cols>
    <col min="3" max="3" width="9.5" bestFit="1" customWidth="1"/>
    <col min="4" max="7" width="19.375" customWidth="1"/>
  </cols>
  <sheetData>
    <row r="1" spans="1:7" x14ac:dyDescent="0.25"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>
        <v>1</v>
      </c>
      <c r="B2" s="1" t="s">
        <v>0</v>
      </c>
      <c r="C2" t="str">
        <f>A2&amp;B2</f>
        <v>1上</v>
      </c>
      <c r="D2" s="2">
        <v>2.13</v>
      </c>
      <c r="E2" s="2">
        <v>0.06</v>
      </c>
      <c r="F2">
        <v>10.36</v>
      </c>
      <c r="G2">
        <v>0.48</v>
      </c>
    </row>
    <row r="3" spans="1:7" x14ac:dyDescent="0.25">
      <c r="A3">
        <v>1</v>
      </c>
      <c r="B3" t="s">
        <v>1</v>
      </c>
      <c r="C3" t="str">
        <f t="shared" ref="C3:C37" si="0">A3&amp;B3</f>
        <v>1中</v>
      </c>
      <c r="D3" s="2">
        <v>2.0099999999999998</v>
      </c>
      <c r="E3" s="2">
        <v>0.06</v>
      </c>
      <c r="F3">
        <v>9.8000000000000007</v>
      </c>
      <c r="G3">
        <v>0.48</v>
      </c>
    </row>
    <row r="4" spans="1:7" x14ac:dyDescent="0.25">
      <c r="A4">
        <v>1</v>
      </c>
      <c r="B4" t="s">
        <v>2</v>
      </c>
      <c r="C4" t="str">
        <f t="shared" si="0"/>
        <v>1下</v>
      </c>
      <c r="D4" s="2">
        <v>1.99</v>
      </c>
      <c r="E4" s="2">
        <v>0.06</v>
      </c>
      <c r="F4">
        <v>9.67</v>
      </c>
      <c r="G4">
        <v>0.48</v>
      </c>
    </row>
    <row r="5" spans="1:7" x14ac:dyDescent="0.25">
      <c r="A5">
        <v>2</v>
      </c>
      <c r="B5" s="1" t="s">
        <v>0</v>
      </c>
      <c r="C5" t="str">
        <f t="shared" si="0"/>
        <v>2上</v>
      </c>
      <c r="D5" s="2">
        <v>1.84</v>
      </c>
      <c r="E5" s="2">
        <v>0.06</v>
      </c>
      <c r="F5">
        <v>9.16</v>
      </c>
      <c r="G5">
        <v>0.48</v>
      </c>
    </row>
    <row r="6" spans="1:7" x14ac:dyDescent="0.25">
      <c r="A6">
        <v>2</v>
      </c>
      <c r="B6" t="s">
        <v>1</v>
      </c>
      <c r="C6" t="str">
        <f t="shared" si="0"/>
        <v>2中</v>
      </c>
      <c r="D6" s="2">
        <v>1.88</v>
      </c>
      <c r="E6" s="2">
        <v>0.06</v>
      </c>
      <c r="F6">
        <v>9.3699999999999992</v>
      </c>
      <c r="G6">
        <v>0.48</v>
      </c>
    </row>
    <row r="7" spans="1:7" x14ac:dyDescent="0.25">
      <c r="A7">
        <v>2</v>
      </c>
      <c r="B7" t="s">
        <v>2</v>
      </c>
      <c r="C7" t="str">
        <f t="shared" si="0"/>
        <v>2下</v>
      </c>
      <c r="D7" s="2">
        <v>1.85</v>
      </c>
      <c r="E7" s="2">
        <v>0.06</v>
      </c>
      <c r="F7">
        <v>9.24</v>
      </c>
      <c r="G7">
        <v>0.48</v>
      </c>
    </row>
    <row r="8" spans="1:7" x14ac:dyDescent="0.25">
      <c r="A8">
        <v>3</v>
      </c>
      <c r="B8" s="1" t="s">
        <v>0</v>
      </c>
      <c r="C8" t="str">
        <f t="shared" si="0"/>
        <v>3上</v>
      </c>
      <c r="D8" s="2">
        <v>1.78</v>
      </c>
      <c r="E8" s="2">
        <v>0.06</v>
      </c>
      <c r="F8">
        <v>8.7100000000000009</v>
      </c>
      <c r="G8">
        <v>0.48</v>
      </c>
    </row>
    <row r="9" spans="1:7" x14ac:dyDescent="0.25">
      <c r="A9">
        <v>3</v>
      </c>
      <c r="B9" t="s">
        <v>1</v>
      </c>
      <c r="C9" t="str">
        <f t="shared" si="0"/>
        <v>3中</v>
      </c>
      <c r="D9" s="2">
        <v>1.66</v>
      </c>
      <c r="E9" s="2">
        <v>0.06</v>
      </c>
      <c r="F9">
        <v>8.11</v>
      </c>
      <c r="G9">
        <v>0.48</v>
      </c>
    </row>
    <row r="10" spans="1:7" x14ac:dyDescent="0.25">
      <c r="A10">
        <v>3</v>
      </c>
      <c r="B10" t="s">
        <v>2</v>
      </c>
      <c r="C10" t="str">
        <f t="shared" si="0"/>
        <v>3下</v>
      </c>
      <c r="D10" s="2">
        <v>1.71</v>
      </c>
      <c r="E10" s="2">
        <v>0.06</v>
      </c>
      <c r="F10">
        <v>8.33</v>
      </c>
      <c r="G10">
        <v>0.48</v>
      </c>
    </row>
    <row r="11" spans="1:7" x14ac:dyDescent="0.25">
      <c r="A11">
        <v>4</v>
      </c>
      <c r="B11" s="1" t="s">
        <v>0</v>
      </c>
      <c r="C11" t="str">
        <f t="shared" si="0"/>
        <v>4上</v>
      </c>
      <c r="D11" s="2">
        <v>1.63</v>
      </c>
      <c r="E11" s="2">
        <v>0.06</v>
      </c>
      <c r="F11">
        <v>7.86</v>
      </c>
      <c r="G11">
        <v>0.48</v>
      </c>
    </row>
    <row r="12" spans="1:7" x14ac:dyDescent="0.25">
      <c r="A12">
        <v>4</v>
      </c>
      <c r="B12" t="s">
        <v>1</v>
      </c>
      <c r="C12" t="str">
        <f t="shared" si="0"/>
        <v>4中</v>
      </c>
      <c r="D12" s="2">
        <v>1.65</v>
      </c>
      <c r="E12" s="2">
        <v>0.08</v>
      </c>
      <c r="F12">
        <v>7.98</v>
      </c>
      <c r="G12">
        <v>0.6</v>
      </c>
    </row>
    <row r="13" spans="1:7" x14ac:dyDescent="0.25">
      <c r="A13">
        <v>4</v>
      </c>
      <c r="B13" t="s">
        <v>2</v>
      </c>
      <c r="C13" t="str">
        <f t="shared" si="0"/>
        <v>4下</v>
      </c>
      <c r="D13" s="2">
        <v>1.58</v>
      </c>
      <c r="E13" s="2">
        <v>0.06</v>
      </c>
      <c r="F13">
        <v>7.63</v>
      </c>
      <c r="G13">
        <v>0.48</v>
      </c>
    </row>
    <row r="14" spans="1:7" x14ac:dyDescent="0.25">
      <c r="A14">
        <v>5</v>
      </c>
      <c r="B14" s="1" t="s">
        <v>0</v>
      </c>
      <c r="C14" t="str">
        <f t="shared" si="0"/>
        <v>5上</v>
      </c>
      <c r="D14" s="2">
        <v>1.86</v>
      </c>
      <c r="E14" s="2">
        <v>0.06</v>
      </c>
      <c r="F14">
        <v>7.87</v>
      </c>
      <c r="G14">
        <v>0.48</v>
      </c>
    </row>
    <row r="15" spans="1:7" x14ac:dyDescent="0.25">
      <c r="A15">
        <v>5</v>
      </c>
      <c r="B15" t="s">
        <v>1</v>
      </c>
      <c r="C15" t="str">
        <f t="shared" si="0"/>
        <v>5中</v>
      </c>
      <c r="D15" s="2">
        <v>2.35</v>
      </c>
      <c r="E15" s="2">
        <v>0.15</v>
      </c>
      <c r="F15">
        <v>9.94</v>
      </c>
      <c r="G15">
        <v>0.89</v>
      </c>
    </row>
    <row r="16" spans="1:7" x14ac:dyDescent="0.25">
      <c r="A16">
        <v>5</v>
      </c>
      <c r="B16" t="s">
        <v>2</v>
      </c>
      <c r="C16" t="str">
        <f t="shared" si="0"/>
        <v>5下</v>
      </c>
      <c r="D16" s="2">
        <v>3.38</v>
      </c>
      <c r="E16" s="2">
        <v>0.63</v>
      </c>
      <c r="F16">
        <v>14.29</v>
      </c>
      <c r="G16">
        <v>2.94</v>
      </c>
    </row>
    <row r="17" spans="1:7" x14ac:dyDescent="0.25">
      <c r="A17">
        <v>6</v>
      </c>
      <c r="B17" s="1" t="s">
        <v>0</v>
      </c>
      <c r="C17" t="str">
        <f t="shared" si="0"/>
        <v>6上</v>
      </c>
      <c r="D17" s="2">
        <v>3.22</v>
      </c>
      <c r="E17" s="2">
        <v>0.39</v>
      </c>
      <c r="F17">
        <v>17.54</v>
      </c>
      <c r="G17">
        <v>2.98</v>
      </c>
    </row>
    <row r="18" spans="1:7" x14ac:dyDescent="0.25">
      <c r="A18">
        <v>6</v>
      </c>
      <c r="B18" t="s">
        <v>1</v>
      </c>
      <c r="C18" t="str">
        <f t="shared" si="0"/>
        <v>6中</v>
      </c>
      <c r="D18" s="2">
        <v>3.5</v>
      </c>
      <c r="E18" s="2">
        <v>0.59</v>
      </c>
      <c r="F18">
        <v>19.07</v>
      </c>
      <c r="G18">
        <v>4.08</v>
      </c>
    </row>
    <row r="19" spans="1:7" x14ac:dyDescent="0.25">
      <c r="A19">
        <v>6</v>
      </c>
      <c r="B19" t="s">
        <v>2</v>
      </c>
      <c r="C19" t="str">
        <f t="shared" si="0"/>
        <v>6下</v>
      </c>
      <c r="D19" s="2">
        <v>3.52</v>
      </c>
      <c r="E19" s="2">
        <v>0.94</v>
      </c>
      <c r="F19">
        <v>19.21</v>
      </c>
      <c r="G19">
        <v>6.13</v>
      </c>
    </row>
    <row r="20" spans="1:7" x14ac:dyDescent="0.25">
      <c r="A20">
        <v>7</v>
      </c>
      <c r="B20" s="1" t="s">
        <v>0</v>
      </c>
      <c r="C20" t="str">
        <f t="shared" si="0"/>
        <v>7上</v>
      </c>
      <c r="D20" s="2">
        <v>3.14</v>
      </c>
      <c r="E20" s="2">
        <v>0.66</v>
      </c>
      <c r="F20">
        <v>15.68</v>
      </c>
      <c r="G20">
        <v>3.95</v>
      </c>
    </row>
    <row r="21" spans="1:7" x14ac:dyDescent="0.25">
      <c r="A21">
        <v>7</v>
      </c>
      <c r="B21" t="s">
        <v>1</v>
      </c>
      <c r="C21" t="str">
        <f t="shared" si="0"/>
        <v>7中</v>
      </c>
      <c r="D21" s="2">
        <v>4.88</v>
      </c>
      <c r="E21" s="2">
        <v>2.2599999999999998</v>
      </c>
      <c r="F21">
        <v>24.36</v>
      </c>
      <c r="G21">
        <v>12.27</v>
      </c>
    </row>
    <row r="22" spans="1:7" x14ac:dyDescent="0.25">
      <c r="A22">
        <v>7</v>
      </c>
      <c r="B22" t="s">
        <v>2</v>
      </c>
      <c r="C22" t="str">
        <f t="shared" si="0"/>
        <v>7下</v>
      </c>
      <c r="D22" s="2">
        <v>6.53</v>
      </c>
      <c r="E22" s="2">
        <v>3.36</v>
      </c>
      <c r="F22">
        <v>32.590000000000003</v>
      </c>
      <c r="G22">
        <v>17.97</v>
      </c>
    </row>
    <row r="23" spans="1:7" x14ac:dyDescent="0.25">
      <c r="A23">
        <v>8</v>
      </c>
      <c r="B23" s="1" t="s">
        <v>0</v>
      </c>
      <c r="C23" t="str">
        <f t="shared" si="0"/>
        <v>8上</v>
      </c>
      <c r="D23" s="2">
        <v>4.13</v>
      </c>
      <c r="E23" s="2">
        <v>1.44</v>
      </c>
      <c r="F23">
        <v>30.97</v>
      </c>
      <c r="G23">
        <v>14.99</v>
      </c>
    </row>
    <row r="24" spans="1:7" x14ac:dyDescent="0.25">
      <c r="A24">
        <v>8</v>
      </c>
      <c r="B24" t="s">
        <v>1</v>
      </c>
      <c r="C24" t="str">
        <f t="shared" si="0"/>
        <v>8中</v>
      </c>
      <c r="D24" s="2">
        <v>3.3</v>
      </c>
      <c r="E24" s="2">
        <v>0.68</v>
      </c>
      <c r="F24">
        <v>24.74</v>
      </c>
      <c r="G24">
        <v>8.35</v>
      </c>
    </row>
    <row r="25" spans="1:7" x14ac:dyDescent="0.25">
      <c r="A25">
        <v>8</v>
      </c>
      <c r="B25" t="s">
        <v>2</v>
      </c>
      <c r="C25" t="str">
        <f t="shared" si="0"/>
        <v>8下</v>
      </c>
      <c r="D25" s="2">
        <v>4.29</v>
      </c>
      <c r="E25" s="2">
        <v>1.41</v>
      </c>
      <c r="F25">
        <v>32.11</v>
      </c>
      <c r="G25">
        <v>14.82</v>
      </c>
    </row>
    <row r="26" spans="1:7" x14ac:dyDescent="0.25">
      <c r="A26">
        <v>9</v>
      </c>
      <c r="B26" s="1" t="s">
        <v>0</v>
      </c>
      <c r="C26" t="str">
        <f t="shared" si="0"/>
        <v>9上</v>
      </c>
      <c r="D26" s="2">
        <v>6.86</v>
      </c>
      <c r="E26" s="2">
        <v>3.32</v>
      </c>
      <c r="F26">
        <v>41.28</v>
      </c>
      <c r="G26">
        <v>23.34</v>
      </c>
    </row>
    <row r="27" spans="1:7" x14ac:dyDescent="0.25">
      <c r="A27">
        <v>9</v>
      </c>
      <c r="B27" t="s">
        <v>1</v>
      </c>
      <c r="C27" t="str">
        <f t="shared" si="0"/>
        <v>9中</v>
      </c>
      <c r="D27" s="2">
        <v>6.82</v>
      </c>
      <c r="E27" s="2">
        <v>2.74</v>
      </c>
      <c r="F27">
        <v>40.99</v>
      </c>
      <c r="G27">
        <v>21.14</v>
      </c>
    </row>
    <row r="28" spans="1:7" x14ac:dyDescent="0.25">
      <c r="A28">
        <v>9</v>
      </c>
      <c r="B28" t="s">
        <v>2</v>
      </c>
      <c r="C28" t="str">
        <f t="shared" si="0"/>
        <v>9下</v>
      </c>
      <c r="D28" s="2">
        <v>8.6199999999999992</v>
      </c>
      <c r="E28" s="2">
        <v>4.05</v>
      </c>
      <c r="F28">
        <v>51.81</v>
      </c>
      <c r="G28">
        <v>29.74</v>
      </c>
    </row>
    <row r="29" spans="1:7" x14ac:dyDescent="0.25">
      <c r="A29">
        <v>10</v>
      </c>
      <c r="B29" s="1" t="s">
        <v>0</v>
      </c>
      <c r="C29" t="str">
        <f t="shared" si="0"/>
        <v>10上</v>
      </c>
      <c r="D29" s="2">
        <v>8.17</v>
      </c>
      <c r="E29" s="2">
        <v>3.8</v>
      </c>
      <c r="F29">
        <v>44.88</v>
      </c>
      <c r="G29">
        <v>24.4</v>
      </c>
    </row>
    <row r="30" spans="1:7" x14ac:dyDescent="0.25">
      <c r="A30">
        <v>10</v>
      </c>
      <c r="B30" t="s">
        <v>1</v>
      </c>
      <c r="C30" t="str">
        <f t="shared" si="0"/>
        <v>10中</v>
      </c>
      <c r="D30" s="2">
        <v>6.15</v>
      </c>
      <c r="E30" s="2">
        <v>2.1800000000000002</v>
      </c>
      <c r="F30">
        <v>33.76</v>
      </c>
      <c r="G30">
        <v>14.76</v>
      </c>
    </row>
    <row r="31" spans="1:7" x14ac:dyDescent="0.25">
      <c r="A31">
        <v>10</v>
      </c>
      <c r="B31" t="s">
        <v>2</v>
      </c>
      <c r="C31" t="str">
        <f t="shared" si="0"/>
        <v>10下</v>
      </c>
      <c r="D31" s="2">
        <v>6</v>
      </c>
      <c r="E31" s="2">
        <v>2.5299999999999998</v>
      </c>
      <c r="F31">
        <v>32.97</v>
      </c>
      <c r="G31">
        <v>16.14</v>
      </c>
    </row>
    <row r="32" spans="1:7" x14ac:dyDescent="0.25">
      <c r="A32">
        <v>11</v>
      </c>
      <c r="B32" s="1" t="s">
        <v>0</v>
      </c>
      <c r="C32" t="str">
        <f t="shared" si="0"/>
        <v>11上</v>
      </c>
      <c r="D32" s="2">
        <v>4.18</v>
      </c>
      <c r="E32" s="2">
        <v>1.18</v>
      </c>
      <c r="F32">
        <v>23.02</v>
      </c>
      <c r="G32">
        <v>7.49</v>
      </c>
    </row>
    <row r="33" spans="1:7" x14ac:dyDescent="0.25">
      <c r="A33">
        <v>11</v>
      </c>
      <c r="B33" t="s">
        <v>1</v>
      </c>
      <c r="C33" t="str">
        <f t="shared" si="0"/>
        <v>11中</v>
      </c>
      <c r="D33" s="2">
        <v>3.74</v>
      </c>
      <c r="E33" s="2">
        <v>0.94</v>
      </c>
      <c r="F33">
        <v>20.58</v>
      </c>
      <c r="G33">
        <v>6.09</v>
      </c>
    </row>
    <row r="34" spans="1:7" x14ac:dyDescent="0.25">
      <c r="A34">
        <v>11</v>
      </c>
      <c r="B34" t="s">
        <v>2</v>
      </c>
      <c r="C34" t="str">
        <f t="shared" si="0"/>
        <v>11下</v>
      </c>
      <c r="D34" s="2">
        <v>2.83</v>
      </c>
      <c r="E34" s="2">
        <v>0.06</v>
      </c>
      <c r="F34">
        <v>15.55</v>
      </c>
      <c r="G34">
        <v>1.67</v>
      </c>
    </row>
    <row r="35" spans="1:7" x14ac:dyDescent="0.25">
      <c r="A35">
        <v>12</v>
      </c>
      <c r="B35" s="1" t="s">
        <v>0</v>
      </c>
      <c r="C35" t="str">
        <f t="shared" si="0"/>
        <v>12上</v>
      </c>
      <c r="D35" s="2">
        <v>2.36</v>
      </c>
      <c r="E35" s="2">
        <v>7.0000000000000007E-2</v>
      </c>
      <c r="F35">
        <v>12.11</v>
      </c>
      <c r="G35">
        <v>0.63</v>
      </c>
    </row>
    <row r="36" spans="1:7" x14ac:dyDescent="0.25">
      <c r="A36">
        <v>12</v>
      </c>
      <c r="B36" t="s">
        <v>1</v>
      </c>
      <c r="C36" t="str">
        <f t="shared" si="0"/>
        <v>12中</v>
      </c>
      <c r="D36" s="2">
        <v>2.12</v>
      </c>
      <c r="E36" s="2">
        <v>0.06</v>
      </c>
      <c r="F36">
        <v>10.88</v>
      </c>
      <c r="G36">
        <v>0.54</v>
      </c>
    </row>
    <row r="37" spans="1:7" x14ac:dyDescent="0.25">
      <c r="A37">
        <v>12</v>
      </c>
      <c r="B37" t="s">
        <v>2</v>
      </c>
      <c r="C37" t="str">
        <f t="shared" si="0"/>
        <v>12下</v>
      </c>
      <c r="D37" s="2">
        <v>1.98</v>
      </c>
      <c r="E37" s="2">
        <v>0.06</v>
      </c>
      <c r="F37">
        <v>10.119999999999999</v>
      </c>
      <c r="G37">
        <v>0.49</v>
      </c>
    </row>
    <row r="38" spans="1:7" x14ac:dyDescent="0.25">
      <c r="D38" s="3">
        <f>AVERAGE(D2:D37)</f>
        <v>3.49</v>
      </c>
      <c r="E38" s="3">
        <f>AVERAGE(E2:E37)</f>
        <v>0.95277777777777795</v>
      </c>
      <c r="F38" s="3">
        <f>AVERAGE(F2:F37)</f>
        <v>19.237222222222226</v>
      </c>
      <c r="G38" s="3">
        <f>AVERAGE(G2:G37)</f>
        <v>6.7266666666666666</v>
      </c>
    </row>
    <row r="39" spans="1:7" x14ac:dyDescent="0.25">
      <c r="D39" s="3">
        <f>_xlfn.STDEV.P(D2:D37)</f>
        <v>1.9797741173062025</v>
      </c>
      <c r="E39" s="3">
        <f>_xlfn.STDEV.P(E2:E37)</f>
        <v>1.217316290294878</v>
      </c>
      <c r="F39" s="3">
        <f>_xlfn.STDEV.P(F2:F37)</f>
        <v>12.255620391185404</v>
      </c>
      <c r="G39" s="3">
        <f>_xlfn.STDEV.P(G2:G37)</f>
        <v>8.3276840851597029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2022-11-11T11:23:28Z</dcterms:created>
  <dcterms:modified xsi:type="dcterms:W3CDTF">2022-11-11T11:39:10Z</dcterms:modified>
</cp:coreProperties>
</file>